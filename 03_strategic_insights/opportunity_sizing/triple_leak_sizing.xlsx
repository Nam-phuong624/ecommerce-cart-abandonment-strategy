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ified_Data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Annual_Proj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0.0&quot;×&quot;"/>
    <numFmt numFmtId="167" formatCode="+0.0%"/>
    <numFmt numFmtId="168" formatCode="$#,##0,&quot;K&quot;"/>
    <numFmt numFmtId="169" formatCode="$#,##0,,&quot;M&quot;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sz val="10"/>
    </font>
    <font>
      <b val="1"/>
      <color rgb="001F4E78"/>
      <sz val="11"/>
    </font>
    <font>
      <i val="1"/>
      <color rgb="00FF0000"/>
    </font>
    <font>
      <b val="1"/>
      <color rgb="00FFFFFF"/>
      <sz val="11"/>
    </font>
    <font>
      <name val="Calibri"/>
      <b val="1"/>
      <color rgb="00FFFFFF"/>
      <sz val="11"/>
    </font>
    <font>
      <i val="1"/>
    </font>
    <font>
      <b val="1"/>
    </font>
    <font>
      <b val="1"/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8" fillId="0" borderId="1" pivotButton="0" quotePrefix="0" xfId="0"/>
    <xf numFmtId="164" fontId="8" fillId="6" borderId="1" applyAlignment="1" pivotButton="0" quotePrefix="0" xfId="0">
      <alignment horizontal="right" vertical="center"/>
    </xf>
    <xf numFmtId="166" fontId="9" fillId="7" borderId="1" applyAlignment="1" pivotButton="0" quotePrefix="0" xfId="0">
      <alignment horizontal="right" vertical="center"/>
    </xf>
    <xf numFmtId="0" fontId="8" fillId="0" borderId="0" pivotButton="0" quotePrefix="0" xfId="0"/>
    <xf numFmtId="165" fontId="6" fillId="2" borderId="1" applyAlignment="1" pivotButton="0" quotePrefix="0" xfId="0">
      <alignment horizontal="center" vertical="center" wrapText="1"/>
    </xf>
    <xf numFmtId="167" fontId="6" fillId="2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right" vertical="center"/>
    </xf>
    <xf numFmtId="0" fontId="10" fillId="2" borderId="0" pivotButton="0" quotePrefix="0" xfId="0"/>
    <xf numFmtId="164" fontId="9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1" t="inlineStr">
        <is>
          <t>Triple-Leak BF Opportunity Sizing Model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Interactive sizing tool for 3-cohort Black Friday revenue leakage recovery program.</t>
        </is>
      </c>
    </row>
    <row r="5">
      <c r="A5" s="2" t="inlineStr">
        <is>
          <t>Stakeholders change assumptions (yellow cells) → see impact on recovery $ (green cells).</t>
        </is>
      </c>
    </row>
    <row r="6">
      <c r="A6" s="2" t="inlineStr"/>
    </row>
    <row r="7">
      <c r="A7" s="3" t="inlineStr">
        <is>
          <t>SHEETS</t>
        </is>
      </c>
    </row>
    <row r="8">
      <c r="A8" s="2" t="inlineStr">
        <is>
          <t>1. Assumptions — User-editable inputs (yellow). Change here to see impact everywhere.</t>
        </is>
      </c>
    </row>
    <row r="9">
      <c r="A9" s="2" t="inlineStr">
        <is>
          <t>2. Verified_Data — DA-verified numbers (blue). DO NOT EDIT. Stamped from Phase 5+6.</t>
        </is>
      </c>
    </row>
    <row r="10">
      <c r="A10" s="2" t="inlineStr">
        <is>
          <t>3. Calculations — Core formulas per cohort × scenario (green = output).</t>
        </is>
      </c>
    </row>
    <row r="11">
      <c r="A11" s="2" t="inlineStr">
        <is>
          <t>4. Scenarios — Conservative / Base / Optimistic side-by-side.</t>
        </is>
      </c>
    </row>
    <row r="12">
      <c r="A12" s="2" t="inlineStr">
        <is>
          <t>5. Sensitivity — Recovery rate × discount cost heatmap for base case.</t>
        </is>
      </c>
    </row>
    <row r="13">
      <c r="A13" s="2" t="inlineStr">
        <is>
          <t>6. Annual_Projection — 7 flash sale events compounding.</t>
        </is>
      </c>
    </row>
    <row r="14">
      <c r="A14" s="2" t="inlineStr"/>
    </row>
    <row r="15">
      <c r="A15" s="3" t="inlineStr">
        <is>
          <t>COLOR CODE</t>
        </is>
      </c>
    </row>
    <row r="16">
      <c r="A16" s="2" t="inlineStr">
        <is>
          <t>🟡 Yellow = Editable assumption (change these)</t>
        </is>
      </c>
    </row>
    <row r="17">
      <c r="A17" s="2" t="inlineStr">
        <is>
          <t>🟢 Green = Calculated output</t>
        </is>
      </c>
    </row>
    <row r="18">
      <c r="A18" s="2" t="inlineStr">
        <is>
          <t>🔵 Blue = Verified data from DA (locked, do not edit)</t>
        </is>
      </c>
    </row>
    <row r="19">
      <c r="A19" s="2" t="inlineStr"/>
    </row>
    <row r="20">
      <c r="A20" s="3" t="inlineStr">
        <is>
          <t>SOURCE</t>
        </is>
      </c>
    </row>
    <row r="21">
      <c r="A21" s="2" t="inlineStr">
        <is>
          <t>Data verified in: 02_data_analysis/eda_notebooks/05_metric_verification.md</t>
        </is>
      </c>
    </row>
    <row r="22">
      <c r="A22" s="2" t="inlineStr">
        <is>
          <t>Cohort profiling: 02_data_analysis/eda_notebooks/06_triple_leak_profiling.md</t>
        </is>
      </c>
    </row>
    <row r="23">
      <c r="A23" s="2" t="inlineStr">
        <is>
          <t>Narrative: 03_business_analysis/reports/01_problem_brief_v3.md</t>
        </is>
      </c>
    </row>
    <row r="24">
      <c r="A24" s="2" t="inlineStr"/>
    </row>
    <row r="25">
      <c r="A25" s="3" t="inlineStr">
        <is>
          <t>CURRENCY</t>
        </is>
      </c>
    </row>
    <row r="26">
      <c r="A26" s="2" t="inlineStr">
        <is>
          <t>All monetary values in USD.</t>
        </is>
      </c>
    </row>
    <row r="27">
      <c r="A27" s="2" t="inlineStr"/>
    </row>
    <row r="28">
      <c r="A28" s="3" t="inlineStr">
        <is>
          <t>KEY INSIGHT</t>
        </is>
      </c>
    </row>
    <row r="29">
      <c r="A29" s="2" t="inlineStr">
        <is>
          <t>Black Friday is not ONE problem — it is 3 distinct customer failure modes.</t>
        </is>
      </c>
    </row>
    <row r="30">
      <c r="A30" s="2" t="inlineStr">
        <is>
          <t>Each cohort has different intent, natural recovery rate, and solution bucket.</t>
        </is>
      </c>
    </row>
    <row r="31">
      <c r="A31" s="2" t="inlineStr">
        <is>
          <t>Total addressable: $337.5M (89% of $377.9M Nov GMV at risk, exclude Nov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</cols>
  <sheetData>
    <row r="1">
      <c r="A1" s="4" t="inlineStr">
        <is>
          <t>Verified Data from DA Phase 5+6</t>
        </is>
      </c>
    </row>
    <row r="2">
      <c r="A2" s="5" t="inlineStr">
        <is>
          <t>DO NOT EDIT — locked source of truth</t>
        </is>
      </c>
    </row>
    <row r="4">
      <c r="A4" t="inlineStr"/>
      <c r="B4" t="inlineStr"/>
      <c r="C4" t="inlineStr"/>
    </row>
    <row r="5">
      <c r="A5" s="6" t="inlineStr">
        <is>
          <t>TOTAL BF METRICS</t>
        </is>
      </c>
      <c r="B5" t="inlineStr"/>
      <c r="C5" t="inlineStr"/>
    </row>
    <row r="6">
      <c r="A6" s="7" t="inlineStr">
        <is>
          <t>Total Nov GMV at risk (excl Nov 15)</t>
        </is>
      </c>
      <c r="B6" s="8" t="n">
        <v>377900000</v>
      </c>
      <c r="C6" s="7" t="inlineStr">
        <is>
          <t>V4 reconciled, sum of all cohorts</t>
        </is>
      </c>
    </row>
    <row r="7">
      <c r="A7" s="7" t="inlineStr">
        <is>
          <t>BF Week peak daily GMV at risk</t>
        </is>
      </c>
      <c r="B7" s="8" t="n">
        <v>65200000</v>
      </c>
      <c r="C7" s="7" t="inlineStr">
        <is>
          <t>14-17/11 avg, vs non-BF $7M/day</t>
        </is>
      </c>
    </row>
    <row r="8">
      <c r="A8" s="7" t="inlineStr">
        <is>
          <t>Migration rate spike multiplier</t>
        </is>
      </c>
      <c r="B8" s="9" t="n">
        <v>2.5</v>
      </c>
      <c r="C8" s="7" t="inlineStr">
        <is>
          <t>V6: 31.8% BF Week vs 13% Oct baseline</t>
        </is>
      </c>
    </row>
    <row r="9">
      <c r="A9" t="inlineStr"/>
      <c r="B9" t="inlineStr"/>
      <c r="C9" t="inlineStr"/>
    </row>
    <row r="10">
      <c r="A10" s="6" t="inlineStr">
        <is>
          <t>COHORT 1: NEW USERS</t>
        </is>
      </c>
      <c r="B10" t="inlineStr"/>
      <c r="C10" t="inlineStr"/>
    </row>
    <row r="11">
      <c r="A11" s="7" t="inlineStr">
        <is>
          <t>User count</t>
        </is>
      </c>
      <c r="B11" s="8" t="n">
        <v>245131</v>
      </c>
      <c r="C11" s="7" t="inlineStr">
        <is>
          <t>Phase 6 Q1</t>
        </is>
      </c>
    </row>
    <row r="12">
      <c r="A12" s="7" t="inlineStr">
        <is>
          <t>GMV at risk Nov</t>
        </is>
      </c>
      <c r="B12" s="8" t="n">
        <v>154100000</v>
      </c>
      <c r="C12" s="7" t="inlineStr">
        <is>
          <t>Phase 6 Q1</t>
        </is>
      </c>
    </row>
    <row r="13">
      <c r="A13" s="7" t="inlineStr">
        <is>
          <t>Natural recovery rate (no program)</t>
        </is>
      </c>
      <c r="B13" s="10" t="n">
        <v>0.213</v>
      </c>
      <c r="C13" s="7" t="inlineStr">
        <is>
          <t>Phase 6 Q4</t>
        </is>
      </c>
    </row>
    <row r="14">
      <c r="A14" s="7" t="inlineStr">
        <is>
          <t>AOV (abandoned cart)</t>
        </is>
      </c>
      <c r="B14" s="9" t="n">
        <v>440.4</v>
      </c>
      <c r="C14" s="7" t="inlineStr">
        <is>
          <t>Phase 6 Q1</t>
        </is>
      </c>
    </row>
    <row r="15">
      <c r="A15" s="7" t="inlineStr">
        <is>
          <t>Avg sessions per user</t>
        </is>
      </c>
      <c r="B15" s="9" t="n">
        <v>6</v>
      </c>
      <c r="C15" s="7" t="inlineStr">
        <is>
          <t>Phase 6 Q1</t>
        </is>
      </c>
    </row>
    <row r="16">
      <c r="A16" t="inlineStr"/>
      <c r="B16" t="inlineStr"/>
      <c r="C16" t="inlineStr"/>
    </row>
    <row r="17">
      <c r="A17" s="6" t="inlineStr">
        <is>
          <t>COHORT 2: OTHER OCT (Chronic Shoppers)</t>
        </is>
      </c>
      <c r="B17" t="inlineStr"/>
      <c r="C17" t="inlineStr"/>
    </row>
    <row r="18">
      <c r="A18" s="7" t="inlineStr">
        <is>
          <t>User count</t>
        </is>
      </c>
      <c r="B18" s="8" t="n">
        <v>217095</v>
      </c>
      <c r="C18" s="7" t="inlineStr">
        <is>
          <t>Phase 6 Q1</t>
        </is>
      </c>
    </row>
    <row r="19">
      <c r="A19" s="7" t="inlineStr">
        <is>
          <t>GMV at risk Nov</t>
        </is>
      </c>
      <c r="B19" s="8" t="n">
        <v>160100000</v>
      </c>
      <c r="C19" s="7" t="inlineStr">
        <is>
          <t>Phase 6 Q1</t>
        </is>
      </c>
    </row>
    <row r="20">
      <c r="A20" s="7" t="inlineStr">
        <is>
          <t>Natural recovery rate</t>
        </is>
      </c>
      <c r="B20" s="10" t="n">
        <v>0.256</v>
      </c>
      <c r="C20" s="7" t="inlineStr">
        <is>
          <t>Phase 6 Q4</t>
        </is>
      </c>
    </row>
    <row r="21">
      <c r="A21" s="7" t="inlineStr">
        <is>
          <t>AOV (abandoned cart)</t>
        </is>
      </c>
      <c r="B21" s="9" t="n">
        <v>444.58</v>
      </c>
      <c r="C21" s="7" t="inlineStr">
        <is>
          <t>Phase 6 Q1</t>
        </is>
      </c>
    </row>
    <row r="22">
      <c r="A22" s="7" t="inlineStr">
        <is>
          <t>Avg sessions per user</t>
        </is>
      </c>
      <c r="B22" s="9" t="n">
        <v>14.52</v>
      </c>
      <c r="C22" s="7" t="inlineStr">
        <is>
          <t>Phase 6 Q1 — high engagement</t>
        </is>
      </c>
    </row>
    <row r="23">
      <c r="A23" s="7" t="inlineStr">
        <is>
          <t>Sleep days Oct→Nov</t>
        </is>
      </c>
      <c r="B23" s="9" t="n">
        <v>17.1</v>
      </c>
      <c r="C23" s="7" t="inlineStr">
        <is>
          <t>Phase 6 Q2</t>
        </is>
      </c>
    </row>
    <row r="24">
      <c r="A24" t="inlineStr"/>
      <c r="B24" t="inlineStr"/>
      <c r="C24" t="inlineStr"/>
    </row>
    <row r="25">
      <c r="A25" s="6" t="inlineStr">
        <is>
          <t>COHORT 3: STRICT DIRECT (Cannibalized VIPs)</t>
        </is>
      </c>
      <c r="B25" t="inlineStr"/>
      <c r="C25" t="inlineStr"/>
    </row>
    <row r="26">
      <c r="A26" s="7" t="inlineStr">
        <is>
          <t>User count</t>
        </is>
      </c>
      <c r="B26" s="8" t="n">
        <v>36712</v>
      </c>
      <c r="C26" s="7" t="inlineStr">
        <is>
          <t>Phase 5 V3</t>
        </is>
      </c>
    </row>
    <row r="27">
      <c r="A27" s="7" t="inlineStr">
        <is>
          <t>GMV at risk Nov</t>
        </is>
      </c>
      <c r="B27" s="8" t="n">
        <v>23300000</v>
      </c>
      <c r="C27" s="7" t="inlineStr">
        <is>
          <t>Phase 5 V3 (strict cohort)</t>
        </is>
      </c>
    </row>
    <row r="28">
      <c r="A28" s="7" t="inlineStr">
        <is>
          <t>Natural recovery rate</t>
        </is>
      </c>
      <c r="B28" s="10" t="n">
        <v>0.385</v>
      </c>
      <c r="C28" s="7" t="inlineStr">
        <is>
          <t>Phase 6 Q4 — highest intent</t>
        </is>
      </c>
    </row>
    <row r="29">
      <c r="A29" s="7" t="inlineStr">
        <is>
          <t>AOV migrated</t>
        </is>
      </c>
      <c r="B29" s="9" t="n">
        <v>338</v>
      </c>
      <c r="C29" s="7" t="inlineStr">
        <is>
          <t>Phase 5 V5</t>
        </is>
      </c>
    </row>
    <row r="30">
      <c r="A30" s="7" t="inlineStr">
        <is>
          <t>AOV retained Direct</t>
        </is>
      </c>
      <c r="B30" s="9" t="n">
        <v>283</v>
      </c>
      <c r="C30" s="7" t="inlineStr">
        <is>
          <t>Phase 5 V5</t>
        </is>
      </c>
    </row>
    <row r="31">
      <c r="A31" s="7" t="inlineStr">
        <is>
          <t>BF Week abandon rate</t>
        </is>
      </c>
      <c r="B31" s="10" t="n">
        <v>0.5600000000000001</v>
      </c>
      <c r="C31" s="7" t="inlineStr">
        <is>
          <t>Phase 5 V7</t>
        </is>
      </c>
    </row>
    <row r="32">
      <c r="A32" s="7" t="inlineStr">
        <is>
          <t>Non-BF Week abandon rate</t>
        </is>
      </c>
      <c r="B32" s="10" t="n">
        <v>0.31</v>
      </c>
      <c r="C32" s="7" t="inlineStr">
        <is>
          <t>Phase 5 V7 — persistence</t>
        </is>
      </c>
    </row>
    <row r="33">
      <c r="A33" s="7" t="inlineStr">
        <is>
          <t>Oct baseline abandon rate</t>
        </is>
      </c>
      <c r="B33" s="10" t="n">
        <v>0</v>
      </c>
      <c r="C33" s="7" t="inlineStr">
        <is>
          <t>Phase 5 — pre-cannibalization</t>
        </is>
      </c>
    </row>
    <row r="34">
      <c r="A34" t="inlineStr"/>
      <c r="B34" t="inlineStr"/>
      <c r="C34" t="inlineStr"/>
    </row>
    <row r="35">
      <c r="A35" s="6" t="inlineStr">
        <is>
          <t>OTHER COHORTS (not in playbook)</t>
        </is>
      </c>
      <c r="B35" t="inlineStr"/>
      <c r="C35" t="inlineStr"/>
    </row>
    <row r="36">
      <c r="A36" s="7" t="inlineStr">
        <is>
          <t>Strict Cart cohort GMV at risk</t>
        </is>
      </c>
      <c r="B36" s="8" t="n">
        <v>21500000</v>
      </c>
      <c r="C36" s="7" t="inlineStr">
        <is>
          <t>V4</t>
        </is>
      </c>
    </row>
    <row r="37">
      <c r="A37" s="7" t="inlineStr">
        <is>
          <t>Overlap cohort GMV at risk</t>
        </is>
      </c>
      <c r="B37" s="8" t="n">
        <v>19000000</v>
      </c>
      <c r="C37" s="7" t="inlineStr">
        <is>
          <t>V4</t>
        </is>
      </c>
    </row>
    <row r="38">
      <c r="A38" s="7" t="inlineStr">
        <is>
          <t>Total unaddressed</t>
        </is>
      </c>
      <c r="B38" s="8" t="n">
        <v>40500000</v>
      </c>
      <c r="C38" s="7" t="inlineStr">
        <is>
          <t>10.7% of $377.9M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4" t="inlineStr">
        <is>
          <t>Editable Assumptions (change these cells)</t>
        </is>
      </c>
    </row>
    <row r="3">
      <c r="A3" s="11" t="inlineStr">
        <is>
          <t>Assumption</t>
        </is>
      </c>
      <c r="B3" s="11" t="inlineStr">
        <is>
          <t>Conservative</t>
        </is>
      </c>
      <c r="C3" s="11" t="inlineStr">
        <is>
          <t>Base</t>
        </is>
      </c>
      <c r="D3" s="11" t="inlineStr">
        <is>
          <t>Optimistic</t>
        </is>
      </c>
      <c r="E3" s="11" t="inlineStr">
        <is>
          <t>Notes</t>
        </is>
      </c>
    </row>
    <row r="4">
      <c r="A4" s="12" t="inlineStr">
        <is>
          <t>LEAK #1 NEW USERS</t>
        </is>
      </c>
      <c r="E4" t="inlineStr"/>
    </row>
    <row r="5">
      <c r="A5" s="13" t="inlineStr">
        <is>
          <t>Program recovery rate uplift (pp over natural 21.3%)</t>
        </is>
      </c>
      <c r="B5" s="14" t="n">
        <v>0.03</v>
      </c>
      <c r="C5" s="14" t="n">
        <v>0.07000000000000001</v>
      </c>
      <c r="D5" s="14" t="n">
        <v>0.12</v>
      </c>
      <c r="E5" s="15" t="inlineStr">
        <is>
          <t>Industry: 5-15pp for first-order recovery</t>
        </is>
      </c>
    </row>
    <row r="6">
      <c r="A6" s="13" t="inlineStr">
        <is>
          <t>Discount cost (% of recovered GMV)</t>
        </is>
      </c>
      <c r="B6" s="14" t="n">
        <v>0.15</v>
      </c>
      <c r="C6" s="14" t="n">
        <v>0.12</v>
      </c>
      <c r="D6" s="14" t="n">
        <v>0.08</v>
      </c>
      <c r="E6" s="15" t="inlineStr">
        <is>
          <t>Discount intensity decreases with maturity</t>
        </is>
      </c>
    </row>
    <row r="7">
      <c r="A7" t="inlineStr"/>
      <c r="E7" t="inlineStr"/>
    </row>
    <row r="8">
      <c r="A8" s="12" t="inlineStr">
        <is>
          <t>LEAK #2 OTHER OCT</t>
        </is>
      </c>
      <c r="E8" t="inlineStr"/>
    </row>
    <row r="9">
      <c r="A9" s="13" t="inlineStr">
        <is>
          <t>Program recovery rate uplift (pp over natural 25.6%)</t>
        </is>
      </c>
      <c r="B9" s="14" t="n">
        <v>0.02</v>
      </c>
      <c r="C9" s="14" t="n">
        <v>0.05</v>
      </c>
      <c r="D9" s="14" t="n">
        <v>0.1</v>
      </c>
      <c r="E9" s="15" t="inlineStr">
        <is>
          <t>Chronic shoppers harder to convert</t>
        </is>
      </c>
    </row>
    <row r="10">
      <c r="A10" s="13" t="inlineStr">
        <is>
          <t>Discount cost (% of recovered GMV)</t>
        </is>
      </c>
      <c r="B10" s="14" t="n">
        <v>0.1</v>
      </c>
      <c r="C10" s="14" t="n">
        <v>0.08</v>
      </c>
      <c r="D10" s="14" t="n">
        <v>0.05</v>
      </c>
      <c r="E10" s="15" t="inlineStr">
        <is>
          <t>Price-drop alert less costly than new-user discount</t>
        </is>
      </c>
    </row>
    <row r="11">
      <c r="A11" t="inlineStr"/>
      <c r="E11" t="inlineStr"/>
    </row>
    <row r="12">
      <c r="A12" s="12" t="inlineStr">
        <is>
          <t>LEAK #3 STRICT DIRECT (VIPs)</t>
        </is>
      </c>
      <c r="E12" t="inlineStr"/>
    </row>
    <row r="13">
      <c r="A13" s="13" t="inlineStr">
        <is>
          <t>Program recovery rate uplift (pp over natural 38.5%)</t>
        </is>
      </c>
      <c r="B13" s="14" t="n">
        <v>0.05</v>
      </c>
      <c r="C13" s="14" t="n">
        <v>0.1</v>
      </c>
      <c r="D13" s="14" t="n">
        <v>0.18</v>
      </c>
      <c r="E13" s="15" t="inlineStr">
        <is>
          <t>Highest confidence due to intent</t>
        </is>
      </c>
    </row>
    <row r="14">
      <c r="A14" s="13" t="inlineStr">
        <is>
          <t>Cannibalization prevention rate</t>
        </is>
      </c>
      <c r="B14" s="14" t="n">
        <v>0.2</v>
      </c>
      <c r="C14" s="14" t="n">
        <v>0.4</v>
      </c>
      <c r="D14" s="14" t="n">
        <v>0.6</v>
      </c>
      <c r="E14" s="15" t="inlineStr">
        <is>
          <t>% of migrated-abandoned prevented from migrating</t>
        </is>
      </c>
    </row>
    <row r="15">
      <c r="A15" s="13" t="inlineStr">
        <is>
          <t>Discount cost (% of recovered GMV)</t>
        </is>
      </c>
      <c r="B15" s="14" t="n">
        <v>0.05</v>
      </c>
      <c r="C15" s="14" t="n">
        <v>0.03</v>
      </c>
      <c r="D15" s="14" t="n">
        <v>0</v>
      </c>
      <c r="E15" s="15" t="inlineStr">
        <is>
          <t>VIPs convert without heavy discount</t>
        </is>
      </c>
    </row>
    <row r="16">
      <c r="A16" t="inlineStr"/>
      <c r="E16" t="inlineStr"/>
    </row>
    <row r="17">
      <c r="A17" s="12" t="inlineStr">
        <is>
          <t>SHARED ECONOMICS</t>
        </is>
      </c>
      <c r="E17" t="inlineStr"/>
    </row>
    <row r="18">
      <c r="A18" s="13" t="inlineStr">
        <is>
          <t>Gross margin (electronics)</t>
        </is>
      </c>
      <c r="B18" s="14" t="n">
        <v>0.12</v>
      </c>
      <c r="C18" s="14" t="n">
        <v>0.15</v>
      </c>
      <c r="D18" s="14" t="n">
        <v>0.18</v>
      </c>
      <c r="E18" s="15" t="inlineStr">
        <is>
          <t>Industry 12-18% for electronics retail</t>
        </is>
      </c>
    </row>
    <row r="19">
      <c r="A19" s="13" t="inlineStr">
        <is>
          <t>Setup cost one-time</t>
        </is>
      </c>
      <c r="B19" s="16" t="n">
        <v>300000</v>
      </c>
      <c r="C19" s="16" t="n">
        <v>240000</v>
      </c>
      <c r="D19" s="16" t="n">
        <v>180000</v>
      </c>
      <c r="E19" s="15" t="inlineStr">
        <is>
          <t>Dev + tooling + platform setup</t>
        </is>
      </c>
    </row>
    <row r="20">
      <c r="A20" s="13" t="inlineStr">
        <is>
          <t>Annual opex</t>
        </is>
      </c>
      <c r="B20" s="16" t="n">
        <v>3000000</v>
      </c>
      <c r="C20" s="16" t="n">
        <v>2500000</v>
      </c>
      <c r="D20" s="16" t="n">
        <v>2000000</v>
      </c>
      <c r="E20" s="15" t="inlineStr">
        <is>
          <t>Platform + team + discount reserve</t>
        </is>
      </c>
    </row>
    <row r="21">
      <c r="A21" s="13" t="inlineStr">
        <is>
          <t>Number of flash sale events per year</t>
        </is>
      </c>
      <c r="B21" s="17" t="n">
        <v>5</v>
      </c>
      <c r="C21" s="17" t="n">
        <v>7</v>
      </c>
      <c r="D21" s="17" t="n">
        <v>10</v>
      </c>
      <c r="E21" s="15" t="inlineStr">
        <is>
          <t>BF + Cyber + 11.11 + 12.12 + others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Per-Scenario Calculations</t>
        </is>
      </c>
    </row>
    <row r="2">
      <c r="A2" s="18" t="inlineStr">
        <is>
          <t>Formulas reference Assumptions sheet. Change assumptions to see impact.</t>
        </is>
      </c>
    </row>
    <row r="4">
      <c r="A4" s="11" t="inlineStr">
        <is>
          <t>Metric</t>
        </is>
      </c>
      <c r="B4" s="11" t="inlineStr">
        <is>
          <t>Conservative</t>
        </is>
      </c>
      <c r="C4" s="11" t="inlineStr">
        <is>
          <t>Base</t>
        </is>
      </c>
      <c r="D4" s="11" t="inlineStr">
        <is>
          <t>Optimistic</t>
        </is>
      </c>
    </row>
    <row r="5">
      <c r="A5" s="12">
        <f>== LEAK #1 NEW USERS ===</f>
        <v/>
      </c>
    </row>
    <row r="6">
      <c r="A6" s="15" t="inlineStr">
        <is>
          <t>GMV at risk</t>
        </is>
      </c>
      <c r="B6" s="19">
        <f>Verified_Data!B13</f>
        <v/>
      </c>
      <c r="C6" s="19">
        <f>Verified_Data!B13</f>
        <v/>
      </c>
      <c r="D6" s="19">
        <f>Verified_Data!B13</f>
        <v/>
      </c>
    </row>
    <row r="7">
      <c r="A7" s="15" t="inlineStr">
        <is>
          <t>Natural recovery rate</t>
        </is>
      </c>
      <c r="B7" s="20">
        <f>Verified_Data!B14</f>
        <v/>
      </c>
      <c r="C7" s="20">
        <f>Verified_Data!B14</f>
        <v/>
      </c>
      <c r="D7" s="20">
        <f>Verified_Data!B14</f>
        <v/>
      </c>
    </row>
    <row r="8">
      <c r="A8" s="15" t="inlineStr">
        <is>
          <t>Program uplift (pp)</t>
        </is>
      </c>
      <c r="B8" s="20">
        <f>Assumptions!B5</f>
        <v/>
      </c>
      <c r="C8" s="20">
        <f>Assumptions!C5</f>
        <v/>
      </c>
      <c r="D8" s="20">
        <f>Assumptions!D5</f>
        <v/>
      </c>
    </row>
    <row r="9">
      <c r="A9" s="15" t="inlineStr">
        <is>
          <t>Incremental recovery rate</t>
        </is>
      </c>
      <c r="B9" s="20">
        <f>B7+B6</f>
        <v/>
      </c>
      <c r="C9" s="20">
        <f>C7+C6</f>
        <v/>
      </c>
      <c r="D9" s="20">
        <f>D7+D6</f>
        <v/>
      </c>
    </row>
    <row r="10">
      <c r="A10" s="15" t="inlineStr">
        <is>
          <t>Recovered GMV</t>
        </is>
      </c>
      <c r="B10" s="19">
        <f>B6*B8</f>
        <v/>
      </c>
      <c r="C10" s="19">
        <f>C6*C8</f>
        <v/>
      </c>
      <c r="D10" s="19">
        <f>D6*D8</f>
        <v/>
      </c>
    </row>
    <row r="11">
      <c r="A11" s="15" t="inlineStr">
        <is>
          <t>Discount cost</t>
        </is>
      </c>
      <c r="B11" s="19">
        <f>B9*Assumptions!B6</f>
        <v/>
      </c>
      <c r="C11" s="19">
        <f>C9*Assumptions!C6</f>
        <v/>
      </c>
      <c r="D11" s="19">
        <f>D9*Assumptions!D6</f>
        <v/>
      </c>
    </row>
    <row r="12">
      <c r="A12" s="15" t="inlineStr">
        <is>
          <t>Net GMV after discount</t>
        </is>
      </c>
      <c r="B12" s="19">
        <f>B9-B10</f>
        <v/>
      </c>
      <c r="C12" s="19">
        <f>C9-C10</f>
        <v/>
      </c>
      <c r="D12" s="19">
        <f>D9-D10</f>
        <v/>
      </c>
    </row>
    <row r="13">
      <c r="A13" t="inlineStr"/>
    </row>
    <row r="14">
      <c r="A14" s="12">
        <f>== LEAK #2 OTHER OCT ===</f>
        <v/>
      </c>
    </row>
    <row r="15">
      <c r="A15" s="15" t="inlineStr">
        <is>
          <t>GMV at risk</t>
        </is>
      </c>
      <c r="B15" s="19">
        <f>Verified_Data!B20</f>
        <v/>
      </c>
      <c r="C15" s="19">
        <f>Verified_Data!B20</f>
        <v/>
      </c>
      <c r="D15" s="19">
        <f>Verified_Data!B20</f>
        <v/>
      </c>
    </row>
    <row r="16">
      <c r="A16" s="15" t="inlineStr">
        <is>
          <t>Natural recovery rate</t>
        </is>
      </c>
      <c r="B16" s="20">
        <f>Verified_Data!B21</f>
        <v/>
      </c>
      <c r="C16" s="20">
        <f>Verified_Data!B21</f>
        <v/>
      </c>
      <c r="D16" s="20">
        <f>Verified_Data!B21</f>
        <v/>
      </c>
    </row>
    <row r="17">
      <c r="A17" s="15" t="inlineStr">
        <is>
          <t>Program uplift (pp)</t>
        </is>
      </c>
      <c r="B17" s="20">
        <f>Assumptions!B9</f>
        <v/>
      </c>
      <c r="C17" s="20">
        <f>Assumptions!C9</f>
        <v/>
      </c>
      <c r="D17" s="20">
        <f>Assumptions!D9</f>
        <v/>
      </c>
    </row>
    <row r="18">
      <c r="A18" s="15" t="inlineStr">
        <is>
          <t>Incremental recovery rate</t>
        </is>
      </c>
      <c r="B18" s="20">
        <f>B15+B14</f>
        <v/>
      </c>
      <c r="C18" s="20">
        <f>C15+C14</f>
        <v/>
      </c>
      <c r="D18" s="20">
        <f>D15+D14</f>
        <v/>
      </c>
    </row>
    <row r="19">
      <c r="A19" s="15" t="inlineStr">
        <is>
          <t>Recovered GMV</t>
        </is>
      </c>
      <c r="B19" s="19">
        <f>B14*B16</f>
        <v/>
      </c>
      <c r="C19" s="19">
        <f>C14*C16</f>
        <v/>
      </c>
      <c r="D19" s="19">
        <f>D14*D16</f>
        <v/>
      </c>
    </row>
    <row r="20">
      <c r="A20" s="15" t="inlineStr">
        <is>
          <t>Discount cost</t>
        </is>
      </c>
      <c r="B20" s="19">
        <f>B17*Assumptions!B10</f>
        <v/>
      </c>
      <c r="C20" s="19">
        <f>C17*Assumptions!C10</f>
        <v/>
      </c>
      <c r="D20" s="19">
        <f>D17*Assumptions!D10</f>
        <v/>
      </c>
    </row>
    <row r="21">
      <c r="A21" s="15" t="inlineStr">
        <is>
          <t>Net GMV after discount</t>
        </is>
      </c>
      <c r="B21" s="19">
        <f>B17-B18</f>
        <v/>
      </c>
      <c r="C21" s="19">
        <f>C17-C18</f>
        <v/>
      </c>
      <c r="D21" s="19">
        <f>D17-D18</f>
        <v/>
      </c>
    </row>
    <row r="22">
      <c r="A22" t="inlineStr"/>
    </row>
    <row r="23">
      <c r="A23" s="12">
        <f>== LEAK #3 STRICT DIRECT (VIPs) ===</f>
        <v/>
      </c>
    </row>
    <row r="24">
      <c r="A24" s="15" t="inlineStr">
        <is>
          <t>GMV at risk</t>
        </is>
      </c>
      <c r="B24" s="19">
        <f>Verified_Data!B27</f>
        <v/>
      </c>
      <c r="C24" s="19">
        <f>Verified_Data!B27</f>
        <v/>
      </c>
      <c r="D24" s="19">
        <f>Verified_Data!B27</f>
        <v/>
      </c>
    </row>
    <row r="25">
      <c r="A25" s="15" t="inlineStr">
        <is>
          <t>Natural recovery rate</t>
        </is>
      </c>
      <c r="B25" s="20">
        <f>Verified_Data!B28</f>
        <v/>
      </c>
      <c r="C25" s="20">
        <f>Verified_Data!B28</f>
        <v/>
      </c>
      <c r="D25" s="20">
        <f>Verified_Data!B28</f>
        <v/>
      </c>
    </row>
    <row r="26">
      <c r="A26" s="15" t="inlineStr">
        <is>
          <t>Program uplift (pp)</t>
        </is>
      </c>
      <c r="B26" s="20">
        <f>Assumptions!B13</f>
        <v/>
      </c>
      <c r="C26" s="20">
        <f>Assumptions!C13</f>
        <v/>
      </c>
      <c r="D26" s="20">
        <f>Assumptions!D13</f>
        <v/>
      </c>
    </row>
    <row r="27">
      <c r="A27" s="15" t="inlineStr">
        <is>
          <t>Incremental recovery rate</t>
        </is>
      </c>
      <c r="B27" s="20">
        <f>B23+B22</f>
        <v/>
      </c>
      <c r="C27" s="20">
        <f>C23+C22</f>
        <v/>
      </c>
      <c r="D27" s="20">
        <f>D23+D22</f>
        <v/>
      </c>
    </row>
    <row r="28">
      <c r="A28" s="15" t="inlineStr">
        <is>
          <t>Recovered GMV (recovery)</t>
        </is>
      </c>
      <c r="B28" s="19">
        <f>B22*B24</f>
        <v/>
      </c>
      <c r="C28" s="19">
        <f>C22*C24</f>
        <v/>
      </c>
      <c r="D28" s="19">
        <f>D22*D24</f>
        <v/>
      </c>
    </row>
    <row r="29">
      <c r="A29" s="15" t="inlineStr">
        <is>
          <t>Cannibalization prevention rate</t>
        </is>
      </c>
      <c r="B29" s="20">
        <f>Assumptions!B14</f>
        <v/>
      </c>
      <c r="C29" s="20">
        <f>Assumptions!C14</f>
        <v/>
      </c>
      <c r="D29" s="20">
        <f>Assumptions!D14</f>
        <v/>
      </c>
    </row>
    <row r="30">
      <c r="A30" s="15" t="inlineStr">
        <is>
          <t>Prevented GMV (cannibalization)</t>
        </is>
      </c>
      <c r="B30" s="19">
        <f>B22*B26</f>
        <v/>
      </c>
      <c r="C30" s="19">
        <f>C22*C26</f>
        <v/>
      </c>
      <c r="D30" s="19">
        <f>D22*D26</f>
        <v/>
      </c>
    </row>
    <row r="31">
      <c r="A31" s="15" t="inlineStr">
        <is>
          <t>Combined Leak #3 GMV</t>
        </is>
      </c>
      <c r="B31" s="19">
        <f>B25+B27</f>
        <v/>
      </c>
      <c r="C31" s="19">
        <f>C25+C27</f>
        <v/>
      </c>
      <c r="D31" s="19">
        <f>D25+D27</f>
        <v/>
      </c>
    </row>
    <row r="32">
      <c r="A32" s="15" t="inlineStr">
        <is>
          <t>Discount cost</t>
        </is>
      </c>
      <c r="B32" s="19">
        <f>B28*Assumptions!B15</f>
        <v/>
      </c>
      <c r="C32" s="19">
        <f>C28*Assumptions!C15</f>
        <v/>
      </c>
      <c r="D32" s="19">
        <f>D28*Assumptions!D15</f>
        <v/>
      </c>
    </row>
    <row r="33">
      <c r="A33" s="15" t="inlineStr">
        <is>
          <t>Net GMV after discount</t>
        </is>
      </c>
      <c r="B33" s="19">
        <f>B28-B29</f>
        <v/>
      </c>
      <c r="C33" s="19">
        <f>C28-C29</f>
        <v/>
      </c>
      <c r="D33" s="19">
        <f>D28-D29</f>
        <v/>
      </c>
    </row>
    <row r="34">
      <c r="A34" t="inlineStr"/>
    </row>
    <row r="35">
      <c r="A35" s="12">
        <f>== COMBINED PER BF EVENT ===</f>
        <v/>
      </c>
    </row>
    <row r="36">
      <c r="A36" s="15" t="inlineStr">
        <is>
          <t>Total Recovered GMV</t>
        </is>
      </c>
      <c r="B36" s="19">
        <f>B11+B19+B30</f>
        <v/>
      </c>
      <c r="C36" s="19">
        <f>C11+C19+C30</f>
        <v/>
      </c>
      <c r="D36" s="19">
        <f>D11+D19+D30</f>
        <v/>
      </c>
    </row>
    <row r="37">
      <c r="A37" s="15" t="inlineStr">
        <is>
          <t>Gross profit (margin applied)</t>
        </is>
      </c>
      <c r="B37" s="20">
        <f>B33*Assumptions!B19</f>
        <v/>
      </c>
      <c r="C37" s="20">
        <f>C33*Assumptions!C19</f>
        <v/>
      </c>
      <c r="D37" s="20">
        <f>D33*Assumptions!D19</f>
        <v/>
      </c>
    </row>
    <row r="38">
      <c r="A38" t="inlineStr"/>
    </row>
    <row r="39">
      <c r="A39" s="12">
        <f>== ANNUAL (×events) ===</f>
        <v/>
      </c>
    </row>
    <row r="40">
      <c r="A40" s="15" t="inlineStr">
        <is>
          <t>Flash sale events per year</t>
        </is>
      </c>
      <c r="B40" s="21">
        <f>Assumptions!B22</f>
        <v/>
      </c>
      <c r="C40" s="21">
        <f>Assumptions!C22</f>
        <v/>
      </c>
      <c r="D40" s="21">
        <f>Assumptions!D22</f>
        <v/>
      </c>
    </row>
    <row r="41">
      <c r="A41" s="15" t="inlineStr">
        <is>
          <t>Annual recovered GMV</t>
        </is>
      </c>
      <c r="B41" s="19">
        <f>B33*B37</f>
        <v/>
      </c>
      <c r="C41" s="19">
        <f>C33*C37</f>
        <v/>
      </c>
      <c r="D41" s="19">
        <f>D33*D37</f>
        <v/>
      </c>
    </row>
    <row r="42">
      <c r="A42" s="15" t="inlineStr">
        <is>
          <t>Annual gross profit</t>
        </is>
      </c>
      <c r="B42" s="19">
        <f>B38*Assumptions!B19</f>
        <v/>
      </c>
      <c r="C42" s="19">
        <f>C38*Assumptions!C19</f>
        <v/>
      </c>
      <c r="D42" s="19">
        <f>D38*Assumptions!D19</f>
        <v/>
      </c>
    </row>
    <row r="43">
      <c r="A43" s="15" t="inlineStr">
        <is>
          <t>Annual opex</t>
        </is>
      </c>
      <c r="B43" s="19">
        <f>Assumptions!B21</f>
        <v/>
      </c>
      <c r="C43" s="19">
        <f>Assumptions!C21</f>
        <v/>
      </c>
      <c r="D43" s="19">
        <f>Assumptions!D21</f>
        <v/>
      </c>
    </row>
    <row r="44">
      <c r="A44" s="15" t="inlineStr">
        <is>
          <t>Setup cost (one-time)</t>
        </is>
      </c>
      <c r="B44" s="19">
        <f>Assumptions!B20</f>
        <v/>
      </c>
      <c r="C44" s="19">
        <f>Assumptions!C20</f>
        <v/>
      </c>
      <c r="D44" s="19">
        <f>Assumptions!D20</f>
        <v/>
      </c>
    </row>
    <row r="45">
      <c r="A45" s="15" t="inlineStr">
        <is>
          <t>Net profit year 1</t>
        </is>
      </c>
      <c r="B45" s="19">
        <f>B39-B40-B41</f>
        <v/>
      </c>
      <c r="C45" s="19">
        <f>C39-C40-C41</f>
        <v/>
      </c>
      <c r="D45" s="19">
        <f>D39-D40-D41</f>
        <v/>
      </c>
    </row>
    <row r="46">
      <c r="A46" s="15" t="inlineStr">
        <is>
          <t>ROI year 1 (x)</t>
        </is>
      </c>
      <c r="B46" s="22">
        <f>B42/(B40+B41)</f>
        <v/>
      </c>
      <c r="C46" s="22">
        <f>C42/(C40+C41)</f>
        <v/>
      </c>
      <c r="D46" s="22">
        <f>D42/(D40+D41)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Scenario Comparison</t>
        </is>
      </c>
    </row>
    <row r="3">
      <c r="A3" s="11" t="inlineStr">
        <is>
          <t>Metric</t>
        </is>
      </c>
      <c r="B3" s="11" t="inlineStr">
        <is>
          <t>Conservative</t>
        </is>
      </c>
      <c r="C3" s="11" t="inlineStr">
        <is>
          <t>Base</t>
        </is>
      </c>
      <c r="D3" s="11" t="inlineStr">
        <is>
          <t>Optimistic</t>
        </is>
      </c>
    </row>
    <row r="4">
      <c r="A4" s="6" t="inlineStr">
        <is>
          <t>PER BF EVENT</t>
        </is>
      </c>
    </row>
    <row r="5">
      <c r="A5" s="23" t="inlineStr">
        <is>
          <t>Leak #1 Net Recovery</t>
        </is>
      </c>
      <c r="B5" s="19">
        <f>Calculations!B11</f>
        <v/>
      </c>
      <c r="C5" s="19">
        <f>Calculations!C11</f>
        <v/>
      </c>
      <c r="D5" s="19">
        <f>Calculations!D11</f>
        <v/>
      </c>
    </row>
    <row r="6">
      <c r="A6" s="23" t="inlineStr">
        <is>
          <t>Leak #2 Net Recovery</t>
        </is>
      </c>
      <c r="B6" s="19">
        <f>Calculations!B19</f>
        <v/>
      </c>
      <c r="C6" s="19">
        <f>Calculations!C19</f>
        <v/>
      </c>
      <c r="D6" s="19">
        <f>Calculations!D19</f>
        <v/>
      </c>
    </row>
    <row r="7">
      <c r="A7" s="23" t="inlineStr">
        <is>
          <t>Leak #3 Net Recovery (recovery + prevention)</t>
        </is>
      </c>
      <c r="B7" s="19">
        <f>Calculations!B30</f>
        <v/>
      </c>
      <c r="C7" s="19">
        <f>Calculations!C30</f>
        <v/>
      </c>
      <c r="D7" s="19">
        <f>Calculations!D30</f>
        <v/>
      </c>
    </row>
    <row r="8">
      <c r="A8" s="24" t="inlineStr">
        <is>
          <t>TOTAL per BF event</t>
        </is>
      </c>
      <c r="B8" s="25">
        <f>SUM(B5:B7)</f>
        <v/>
      </c>
      <c r="C8" s="25">
        <f>SUM(C5:C7)</f>
        <v/>
      </c>
      <c r="D8" s="25">
        <f>SUM(D5:D7)</f>
        <v/>
      </c>
    </row>
    <row r="9">
      <c r="A9" s="6" t="inlineStr"/>
    </row>
    <row r="10">
      <c r="A10" s="6" t="inlineStr">
        <is>
          <t>ANNUAL</t>
        </is>
      </c>
    </row>
    <row r="11">
      <c r="A11" s="23" t="inlineStr">
        <is>
          <t>Annual Recovered GMV</t>
        </is>
      </c>
      <c r="B11" s="19">
        <f>Calculations!B38</f>
        <v/>
      </c>
      <c r="C11" s="19">
        <f>Calculations!C38</f>
        <v/>
      </c>
      <c r="D11" s="19">
        <f>Calculations!D38</f>
        <v/>
      </c>
    </row>
    <row r="12">
      <c r="A12" s="23" t="inlineStr">
        <is>
          <t>Annual Gross Profit</t>
        </is>
      </c>
      <c r="B12" s="19">
        <f>Calculations!B39</f>
        <v/>
      </c>
      <c r="C12" s="19">
        <f>Calculations!C39</f>
        <v/>
      </c>
      <c r="D12" s="19">
        <f>Calculations!D39</f>
        <v/>
      </c>
    </row>
    <row r="13">
      <c r="A13" s="23" t="inlineStr">
        <is>
          <t>Annual Opex</t>
        </is>
      </c>
      <c r="B13" s="19">
        <f>Calculations!B40</f>
        <v/>
      </c>
      <c r="C13" s="19">
        <f>Calculations!C40</f>
        <v/>
      </c>
      <c r="D13" s="19">
        <f>Calculations!D40</f>
        <v/>
      </c>
    </row>
    <row r="14">
      <c r="A14" s="23" t="inlineStr">
        <is>
          <t>Setup (one-time)</t>
        </is>
      </c>
      <c r="B14" s="19">
        <f>Calculations!B41</f>
        <v/>
      </c>
      <c r="C14" s="19">
        <f>Calculations!C41</f>
        <v/>
      </c>
      <c r="D14" s="19">
        <f>Calculations!D41</f>
        <v/>
      </c>
    </row>
    <row r="15">
      <c r="A15" s="24" t="inlineStr">
        <is>
          <t>NET PROFIT YEAR 1</t>
        </is>
      </c>
      <c r="B15" s="25">
        <f>Calculations!B42</f>
        <v/>
      </c>
      <c r="C15" s="25">
        <f>Calculations!C42</f>
        <v/>
      </c>
      <c r="D15" s="25">
        <f>Calculations!D42</f>
        <v/>
      </c>
    </row>
    <row r="16">
      <c r="A16" s="24" t="inlineStr">
        <is>
          <t>ROI YEAR 1</t>
        </is>
      </c>
      <c r="B16" s="26">
        <f>Calculations!B43</f>
        <v/>
      </c>
      <c r="C16" s="26">
        <f>Calculations!C43</f>
        <v/>
      </c>
      <c r="D16" s="26">
        <f>Calculations!D43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Sensitivity: Recovery Uplift × Discount Cost (Base Scenario Combined)</t>
        </is>
      </c>
    </row>
    <row r="2">
      <c r="A2" s="18" t="inlineStr">
        <is>
          <t>Values = Combined net recovered GMV per BF event (USD)</t>
        </is>
      </c>
    </row>
    <row r="4">
      <c r="A4" s="27" t="inlineStr">
        <is>
          <t>Uplift pp ↓ | Discount →</t>
        </is>
      </c>
      <c r="B4" s="28" t="n">
        <v>0</v>
      </c>
      <c r="C4" s="28" t="n">
        <v>0.05</v>
      </c>
      <c r="D4" s="28" t="n">
        <v>0.1</v>
      </c>
      <c r="E4" s="28" t="n">
        <v>0.15</v>
      </c>
      <c r="F4" s="28" t="n">
        <v>0.2</v>
      </c>
      <c r="G4" s="28" t="n">
        <v>0.25</v>
      </c>
    </row>
    <row r="5">
      <c r="A5" s="29" t="n">
        <v>0.02</v>
      </c>
      <c r="B5" s="30" t="n">
        <v>6750000</v>
      </c>
      <c r="C5" s="30" t="n">
        <v>6412500</v>
      </c>
      <c r="D5" s="30" t="n">
        <v>6075000</v>
      </c>
      <c r="E5" s="30" t="n">
        <v>5737500</v>
      </c>
      <c r="F5" s="30" t="n">
        <v>5400000</v>
      </c>
      <c r="G5" s="30" t="n">
        <v>5062500</v>
      </c>
    </row>
    <row r="6">
      <c r="A6" s="29" t="n">
        <v>0.05</v>
      </c>
      <c r="B6" s="30" t="n">
        <v>16875000</v>
      </c>
      <c r="C6" s="30" t="n">
        <v>16031250</v>
      </c>
      <c r="D6" s="30" t="n">
        <v>15187500</v>
      </c>
      <c r="E6" s="30" t="n">
        <v>14343750</v>
      </c>
      <c r="F6" s="30" t="n">
        <v>13500000</v>
      </c>
      <c r="G6" s="30" t="n">
        <v>12656250</v>
      </c>
    </row>
    <row r="7">
      <c r="A7" s="29" t="n">
        <v>0.08</v>
      </c>
      <c r="B7" s="30" t="n">
        <v>27000000</v>
      </c>
      <c r="C7" s="30" t="n">
        <v>25650000</v>
      </c>
      <c r="D7" s="30" t="n">
        <v>24300000</v>
      </c>
      <c r="E7" s="30" t="n">
        <v>22950000</v>
      </c>
      <c r="F7" s="30" t="n">
        <v>21600000</v>
      </c>
      <c r="G7" s="30" t="n">
        <v>20250000</v>
      </c>
    </row>
    <row r="8">
      <c r="A8" s="29" t="n">
        <v>0.12</v>
      </c>
      <c r="B8" s="30" t="n">
        <v>40500000</v>
      </c>
      <c r="C8" s="30" t="n">
        <v>38475000</v>
      </c>
      <c r="D8" s="30" t="n">
        <v>36450000</v>
      </c>
      <c r="E8" s="30" t="n">
        <v>34425000</v>
      </c>
      <c r="F8" s="30" t="n">
        <v>32400000</v>
      </c>
      <c r="G8" s="30" t="n">
        <v>30375000</v>
      </c>
    </row>
    <row r="9">
      <c r="A9" s="29" t="n">
        <v>0.15</v>
      </c>
      <c r="B9" s="30" t="n">
        <v>50625000</v>
      </c>
      <c r="C9" s="30" t="n">
        <v>48093750</v>
      </c>
      <c r="D9" s="30" t="n">
        <v>45562500</v>
      </c>
      <c r="E9" s="30" t="n">
        <v>43031250</v>
      </c>
      <c r="F9" s="30" t="n">
        <v>40500000</v>
      </c>
      <c r="G9" s="30" t="n">
        <v>37968750</v>
      </c>
    </row>
    <row r="10">
      <c r="A10" s="29" t="n">
        <v>0.2</v>
      </c>
      <c r="B10" s="30" t="n">
        <v>67500000</v>
      </c>
      <c r="C10" s="30" t="n">
        <v>64125000</v>
      </c>
      <c r="D10" s="30" t="n">
        <v>60750000</v>
      </c>
      <c r="E10" s="30" t="n">
        <v>57375000</v>
      </c>
      <c r="F10" s="30" t="n">
        <v>54000000</v>
      </c>
      <c r="G10" s="30" t="n">
        <v>50625000</v>
      </c>
    </row>
    <row r="13">
      <c r="A13" s="27" t="inlineStr">
        <is>
          <t>Legend</t>
        </is>
      </c>
    </row>
    <row r="14">
      <c r="A14" t="inlineStr">
        <is>
          <t>Rows: Program recovery rate uplift over natural baseline (pp)</t>
        </is>
      </c>
    </row>
    <row r="15">
      <c r="A15" t="inlineStr">
        <is>
          <t>Cols: Discount cost as % of recovered GMV</t>
        </is>
      </c>
    </row>
    <row r="16">
      <c r="A16" t="inlineStr">
        <is>
          <t>Cells: Net recovered GMV per BF event, in $M</t>
        </is>
      </c>
    </row>
    <row r="17">
      <c r="A17" t="inlineStr">
        <is>
          <t>Baseline: Combined GMV at risk $337.5M across 3 cohorts</t>
        </is>
      </c>
    </row>
  </sheetData>
  <conditionalFormatting sqref="B5:G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12-Month Flash Sale Compounding Projection (Base Case)</t>
        </is>
      </c>
    </row>
    <row r="3">
      <c r="A3" s="11" t="inlineStr">
        <is>
          <t>Event</t>
        </is>
      </c>
      <c r="B3" s="11" t="inlineStr">
        <is>
          <t>Scale vs BF</t>
        </is>
      </c>
      <c r="C3" s="11" t="inlineStr">
        <is>
          <t>Leak #1 ($)</t>
        </is>
      </c>
      <c r="D3" s="11" t="inlineStr">
        <is>
          <t>Leak #2 ($)</t>
        </is>
      </c>
      <c r="E3" s="11" t="inlineStr">
        <is>
          <t>Leak #3 ($)</t>
        </is>
      </c>
      <c r="F3" s="11" t="inlineStr">
        <is>
          <t>Total Recovery ($)</t>
        </is>
      </c>
      <c r="G3" s="11" t="inlineStr">
        <is>
          <t>Cumulative ($)</t>
        </is>
      </c>
    </row>
    <row r="4">
      <c r="A4" s="23" t="inlineStr">
        <is>
          <t>Black Friday (Nov)</t>
        </is>
      </c>
      <c r="B4" s="31" t="n">
        <v>1</v>
      </c>
      <c r="C4" s="19" t="n">
        <v>15000000</v>
      </c>
      <c r="D4" s="19" t="n">
        <v>13000000</v>
      </c>
      <c r="E4" s="19" t="n">
        <v>18000000</v>
      </c>
      <c r="F4" s="25" t="n">
        <v>46000000</v>
      </c>
      <c r="G4" s="32" t="n">
        <v>46000000</v>
      </c>
    </row>
    <row r="5">
      <c r="A5" s="23" t="inlineStr">
        <is>
          <t>Cyber Monday (Dec)</t>
        </is>
      </c>
      <c r="B5" s="31" t="n">
        <v>0.6</v>
      </c>
      <c r="C5" s="19" t="n">
        <v>9000000</v>
      </c>
      <c r="D5" s="19" t="n">
        <v>7800000</v>
      </c>
      <c r="E5" s="19" t="n">
        <v>10800000</v>
      </c>
      <c r="F5" s="25" t="n">
        <v>27600000</v>
      </c>
      <c r="G5" s="32" t="n">
        <v>73600000</v>
      </c>
    </row>
    <row r="6">
      <c r="A6" s="23" t="inlineStr">
        <is>
          <t>Christmas Sale (Dec)</t>
        </is>
      </c>
      <c r="B6" s="31" t="n">
        <v>0.5</v>
      </c>
      <c r="C6" s="19" t="n">
        <v>7500000</v>
      </c>
      <c r="D6" s="19" t="n">
        <v>6500000</v>
      </c>
      <c r="E6" s="19" t="n">
        <v>9000000</v>
      </c>
      <c r="F6" s="25" t="n">
        <v>23000000</v>
      </c>
      <c r="G6" s="32" t="n">
        <v>96600000</v>
      </c>
    </row>
    <row r="7">
      <c r="A7" s="23" t="inlineStr">
        <is>
          <t>11.11 Russia</t>
        </is>
      </c>
      <c r="B7" s="31" t="n">
        <v>0.7</v>
      </c>
      <c r="C7" s="19" t="n">
        <v>10500000</v>
      </c>
      <c r="D7" s="19" t="n">
        <v>9100000</v>
      </c>
      <c r="E7" s="19" t="n">
        <v>12600000</v>
      </c>
      <c r="F7" s="25" t="n">
        <v>32200000</v>
      </c>
      <c r="G7" s="32" t="n">
        <v>128800000</v>
      </c>
    </row>
    <row r="8">
      <c r="A8" s="23" t="inlineStr">
        <is>
          <t>12.12 Sale</t>
        </is>
      </c>
      <c r="B8" s="31" t="n">
        <v>0.5</v>
      </c>
      <c r="C8" s="19" t="n">
        <v>7500000</v>
      </c>
      <c r="D8" s="19" t="n">
        <v>6500000</v>
      </c>
      <c r="E8" s="19" t="n">
        <v>9000000</v>
      </c>
      <c r="F8" s="25" t="n">
        <v>23000000</v>
      </c>
      <c r="G8" s="32" t="n">
        <v>151800000</v>
      </c>
    </row>
    <row r="9">
      <c r="A9" s="23" t="inlineStr">
        <is>
          <t>International Women's Day (Mar)</t>
        </is>
      </c>
      <c r="B9" s="31" t="n">
        <v>0.4</v>
      </c>
      <c r="C9" s="19" t="n">
        <v>6000000</v>
      </c>
      <c r="D9" s="19" t="n">
        <v>5200000</v>
      </c>
      <c r="E9" s="19" t="n">
        <v>7200000</v>
      </c>
      <c r="F9" s="25" t="n">
        <v>18400000</v>
      </c>
      <c r="G9" s="32" t="n">
        <v>170200000</v>
      </c>
    </row>
    <row r="10">
      <c r="A10" s="23" t="inlineStr">
        <is>
          <t>Mother's Day (May)</t>
        </is>
      </c>
      <c r="B10" s="31" t="n">
        <v>0.3</v>
      </c>
      <c r="C10" s="19" t="n">
        <v>4500000</v>
      </c>
      <c r="D10" s="19" t="n">
        <v>3900000</v>
      </c>
      <c r="E10" s="19" t="n">
        <v>5400000</v>
      </c>
      <c r="F10" s="25" t="n">
        <v>13800000</v>
      </c>
      <c r="G10" s="32" t="n">
        <v>184000000</v>
      </c>
    </row>
    <row r="11">
      <c r="A11" s="33" t="inlineStr">
        <is>
          <t>ANNUAL TOTAL</t>
        </is>
      </c>
      <c r="C11" s="34">
        <f>SUM(C4:C10)</f>
        <v/>
      </c>
      <c r="D11" s="34">
        <f>SUM(D4:D10)</f>
        <v/>
      </c>
      <c r="E11" s="34">
        <f>SUM(E4:E10)</f>
        <v/>
      </c>
      <c r="F11" s="34">
        <f>SUM(F4:F10)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2026-10-08T14:29:06Z</dcterms:created>
  <dcterms:modified xmlns:dcterms="http://purl.org/dc/terms/" xmlns:xsi="http://www.w3.org/2001/XMLSchema-instance" xsi:type="dcterms:W3CDTF">2026-10-08T14:29:06Z</dcterms:modified>
</cp:coreProperties>
</file>